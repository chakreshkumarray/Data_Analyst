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4\"/>
    </mc:Choice>
  </mc:AlternateContent>
  <xr:revisionPtr revIDLastSave="0" documentId="13_ncr:1_{C012D86C-6A30-471F-8BAE-64E099D0F5DE}" xr6:coauthVersionLast="47" xr6:coauthVersionMax="47" xr10:uidLastSave="{00000000-0000-0000-0000-000000000000}"/>
  <bookViews>
    <workbookView xWindow="-108" yWindow="-108" windowWidth="23256" windowHeight="12456" tabRatio="925" activeTab="1" xr2:uid="{00000000-000D-0000-FFFF-FFFF00000000}"/>
  </bookViews>
  <sheets>
    <sheet name="Incentive Calc" sheetId="14" r:id="rId1"/>
    <sheet name="Logical_Functions" sheetId="3" r:id="rId2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G3" i="14"/>
  <c r="G4" i="14"/>
  <c r="G5" i="14"/>
  <c r="G6" i="14"/>
  <c r="G7" i="14"/>
  <c r="G8" i="14"/>
  <c r="G9" i="14"/>
  <c r="G10" i="14"/>
  <c r="G11" i="14"/>
  <c r="G12" i="14"/>
  <c r="G13" i="14"/>
  <c r="G2" i="14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</calcChain>
</file>

<file path=xl/sharedStrings.xml><?xml version="1.0" encoding="utf-8"?>
<sst xmlns="http://schemas.openxmlformats.org/spreadsheetml/2006/main" count="97" uniqueCount="55">
  <si>
    <t>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</si>
  <si>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</si>
  <si>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</si>
  <si>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</si>
  <si>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</si>
  <si>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</si>
  <si>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</si>
  <si>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</si>
  <si>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</si>
  <si>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</si>
  <si>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</si>
  <si>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</si>
  <si>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</si>
  <si>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</si>
  <si>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Finance</t>
  </si>
  <si>
    <t>Operations</t>
  </si>
  <si>
    <t>Sales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</si>
  <si>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</si>
  <si>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</si>
  <si>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</si>
  <si>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</si>
  <si>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</si>
  <si>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</si>
  <si>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</si>
  <si>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</si>
  <si>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</si>
  <si>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</si>
  <si>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</si>
  <si>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</si>
  <si>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</si>
  <si>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</si>
  <si>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</si>
  <si>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</si>
  <si>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</si>
  <si>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</si>
  <si>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</si>
  <si>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</si>
  <si>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Condition</t>
  </si>
  <si>
    <t>Sales Achieved</t>
  </si>
  <si>
    <t xml:space="preserve">Completed </t>
  </si>
  <si>
    <t>&gt;=50000</t>
  </si>
  <si>
    <t>Incomplete</t>
  </si>
  <si>
    <t>Status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</si>
  <si>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</si>
  <si>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</si>
  <si>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</si>
  <si>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</si>
  <si>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</si>
  <si>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</si>
  <si>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</si>
  <si>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</si>
  <si>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</si>
  <si>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</si>
  <si>
    <t>IFS</t>
  </si>
  <si>
    <t>Nested_IF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</si>
</sst>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J14"/>
  <sheetViews>
    <sheetView zoomScale="121" zoomScaleNormal="160" workbookViewId="0">
      <selection activeCell="E21" sqref="E21"/>
    </sheetView>
  </sheetViews>
  <sheetFormatPr defaultRowHeight="14.4" x14ac:dyDescent="0.3"/>
  <cols>
    <col min="1" max="1" width="11.5546875" bestFit="1" customWidth="1"/>
    <col min="2" max="2" width="13" customWidth="1"/>
    <col min="3" max="3" width="11.109375" bestFit="1" customWidth="1"/>
    <col min="4" max="4" width="13.109375" customWidth="1"/>
    <col min="5" max="5" width="11.109375" customWidth="1"/>
    <col min="6" max="8" width="10.6640625" customWidth="1"/>
    <col min="9" max="9" width="22.88671875" bestFit="1" customWidth="1"/>
    <col min="10" max="10" width="10.109375" bestFit="1" customWidth="1"/>
  </cols>
  <sheetData>
    <row r="1" spans="1:10" x14ac:dyDescent="0.3">
      <c r="A1" s="2" t="s">
        <v>30</v>
      </c>
      <c r="B1" s="2" t="s">
        <v>29</v>
      </c>
      <c r="C1" s="2" t="s">
        <v>1</v>
      </c>
      <c r="D1" s="2" t="s">
        <v>16</v>
      </c>
      <c r="E1" s="2" t="s">
        <v>31</v>
      </c>
      <c r="F1" s="2" t="s">
        <v>54</v>
      </c>
      <c r="G1" s="13" t="s">
        <v>53</v>
      </c>
      <c r="H1" s="13"/>
      <c r="I1" s="7" t="s">
        <v>37</v>
      </c>
    </row>
    <row r="2" spans="1:10" x14ac:dyDescent="0.3">
      <c r="A2" s="1" t="s">
        <v>17</v>
      </c>
      <c r="B2" s="1" t="s">
        <v>3</v>
      </c>
      <c r="C2" s="1" t="s">
        <v>14</v>
      </c>
      <c r="D2" s="1">
        <v>72704</v>
      </c>
      <c r="E2" s="1" t="str">
        <f>IF(D2&gt;=50000,"Completed","Incompleted")</f>
        <v>Completed</v>
      </c>
      <c r="F2" s="1">
        <f>IF(D2&gt;75000,D2*20%,IF(D2&gt;50000,D2*15%,D2*10%))</f>
        <v>10905.6</v>
      </c>
      <c r="G2" s="14">
        <f>_xlfn.IFS(D2&gt;75000,D2*20%,D2&gt;50000,D2*15%,D2&lt;50000,D2*10%)</f>
        <v>10905.6</v>
      </c>
      <c r="H2" s="14"/>
      <c r="I2" t="s">
        <v>38</v>
      </c>
      <c r="J2" t="s">
        <v>42</v>
      </c>
    </row>
    <row r="3" spans="1:10" x14ac:dyDescent="0.3">
      <c r="A3" s="1" t="s">
        <v>18</v>
      </c>
      <c r="B3" s="1" t="s">
        <v>4</v>
      </c>
      <c r="C3" s="1" t="s">
        <v>15</v>
      </c>
      <c r="D3" s="1">
        <v>44718</v>
      </c>
      <c r="E3" s="1" t="str">
        <f t="shared" ref="E3:E13" si="0">IF(D3&gt;=50000,"Completed","Incompleted")</f>
        <v>Incompleted</v>
      </c>
      <c r="F3" s="1">
        <f t="shared" ref="F3:F13" si="1">IF(D3&gt;75000,D3*20%,IF(D3&gt;50000,D3*15%,D3*10%))</f>
        <v>4471.8</v>
      </c>
      <c r="G3" s="14">
        <f t="shared" ref="G3:G13" si="2">_xlfn.IFS(D3&gt;75000,D3*20%,D3&gt;50000,D3*15%,D3&lt;50000,D3*10%)</f>
        <v>4471.8</v>
      </c>
      <c r="H3" s="14"/>
      <c r="I3" t="s">
        <v>40</v>
      </c>
      <c r="J3" t="s">
        <v>39</v>
      </c>
    </row>
    <row r="4" spans="1:10" x14ac:dyDescent="0.3">
      <c r="A4" s="1" t="s">
        <v>19</v>
      </c>
      <c r="B4" s="1" t="s">
        <v>5</v>
      </c>
      <c r="C4" s="1" t="s">
        <v>16</v>
      </c>
      <c r="D4" s="1">
        <v>35210</v>
      </c>
      <c r="E4" s="1" t="str">
        <f t="shared" si="0"/>
        <v>Incompleted</v>
      </c>
      <c r="F4" s="1">
        <f t="shared" si="1"/>
        <v>3521</v>
      </c>
      <c r="G4" s="14">
        <f t="shared" si="2"/>
        <v>3521</v>
      </c>
      <c r="H4" s="14"/>
      <c r="I4" t="s">
        <v>35</v>
      </c>
      <c r="J4" t="s">
        <v>41</v>
      </c>
    </row>
    <row r="5" spans="1:10" x14ac:dyDescent="0.3">
      <c r="A5" s="1" t="s">
        <v>20</v>
      </c>
      <c r="B5" s="1" t="s">
        <v>6</v>
      </c>
      <c r="C5" s="1" t="s">
        <v>14</v>
      </c>
      <c r="D5" s="1">
        <v>30681</v>
      </c>
      <c r="E5" s="1" t="str">
        <f t="shared" si="0"/>
        <v>Incompleted</v>
      </c>
      <c r="F5" s="1">
        <f t="shared" si="1"/>
        <v>3068.1000000000004</v>
      </c>
      <c r="G5" s="14">
        <f t="shared" si="2"/>
        <v>3068.1000000000004</v>
      </c>
      <c r="H5" s="14"/>
    </row>
    <row r="6" spans="1:10" x14ac:dyDescent="0.3">
      <c r="A6" s="1" t="s">
        <v>21</v>
      </c>
      <c r="B6" s="1" t="s">
        <v>7</v>
      </c>
      <c r="C6" s="1" t="s">
        <v>15</v>
      </c>
      <c r="D6" s="1">
        <v>47487</v>
      </c>
      <c r="E6" s="1" t="str">
        <f t="shared" si="0"/>
        <v>Incompleted</v>
      </c>
      <c r="F6" s="1">
        <f t="shared" si="1"/>
        <v>4748.7</v>
      </c>
      <c r="G6" s="14">
        <f t="shared" si="2"/>
        <v>4748.7</v>
      </c>
      <c r="H6" s="14"/>
    </row>
    <row r="7" spans="1:10" x14ac:dyDescent="0.3">
      <c r="A7" s="1" t="s">
        <v>22</v>
      </c>
      <c r="B7" s="1" t="s">
        <v>5</v>
      </c>
      <c r="C7" s="1" t="s">
        <v>15</v>
      </c>
      <c r="D7" s="1">
        <v>30000</v>
      </c>
      <c r="E7" s="1" t="str">
        <f t="shared" si="0"/>
        <v>Incompleted</v>
      </c>
      <c r="F7" s="1">
        <f t="shared" si="1"/>
        <v>3000</v>
      </c>
      <c r="G7" s="14">
        <f t="shared" si="2"/>
        <v>3000</v>
      </c>
      <c r="H7" s="14"/>
      <c r="I7" s="10" t="s">
        <v>32</v>
      </c>
      <c r="J7" s="10"/>
    </row>
    <row r="8" spans="1:10" x14ac:dyDescent="0.3">
      <c r="A8" s="1" t="s">
        <v>23</v>
      </c>
      <c r="B8" s="1" t="s">
        <v>8</v>
      </c>
      <c r="C8" s="1" t="s">
        <v>16</v>
      </c>
      <c r="D8" s="1">
        <v>63671</v>
      </c>
      <c r="E8" s="1" t="str">
        <f t="shared" si="0"/>
        <v>Completed</v>
      </c>
      <c r="F8" s="1">
        <f t="shared" si="1"/>
        <v>9550.65</v>
      </c>
      <c r="G8" s="14">
        <f t="shared" si="2"/>
        <v>9550.65</v>
      </c>
      <c r="H8" s="14"/>
      <c r="I8" t="s">
        <v>16</v>
      </c>
      <c r="J8" t="s">
        <v>36</v>
      </c>
    </row>
    <row r="9" spans="1:10" x14ac:dyDescent="0.3">
      <c r="A9" s="1" t="s">
        <v>24</v>
      </c>
      <c r="B9" s="1" t="s">
        <v>9</v>
      </c>
      <c r="C9" s="1" t="s">
        <v>14</v>
      </c>
      <c r="D9" s="1">
        <v>38966</v>
      </c>
      <c r="E9" s="1" t="str">
        <f t="shared" si="0"/>
        <v>Incompleted</v>
      </c>
      <c r="F9" s="1">
        <f t="shared" si="1"/>
        <v>3896.6000000000004</v>
      </c>
      <c r="G9" s="14">
        <f t="shared" si="2"/>
        <v>3896.6000000000004</v>
      </c>
      <c r="H9" s="14"/>
      <c r="I9" t="s">
        <v>33</v>
      </c>
      <c r="J9" s="5">
        <v>0.2</v>
      </c>
    </row>
    <row r="10" spans="1:10" x14ac:dyDescent="0.3">
      <c r="A10" s="1" t="s">
        <v>25</v>
      </c>
      <c r="B10" s="1" t="s">
        <v>10</v>
      </c>
      <c r="C10" s="1" t="s">
        <v>15</v>
      </c>
      <c r="D10" s="1">
        <v>77052</v>
      </c>
      <c r="E10" s="1" t="str">
        <f t="shared" si="0"/>
        <v>Completed</v>
      </c>
      <c r="F10" s="1">
        <f t="shared" si="1"/>
        <v>15410.400000000001</v>
      </c>
      <c r="G10" s="14">
        <f t="shared" si="2"/>
        <v>15410.400000000001</v>
      </c>
      <c r="H10" s="14"/>
      <c r="I10" t="s">
        <v>34</v>
      </c>
      <c r="J10" s="5">
        <v>0.15</v>
      </c>
    </row>
    <row r="11" spans="1:10" x14ac:dyDescent="0.3">
      <c r="A11" s="1" t="s">
        <v>26</v>
      </c>
      <c r="B11" s="1" t="s">
        <v>11</v>
      </c>
      <c r="C11" s="1" t="s">
        <v>16</v>
      </c>
      <c r="D11" s="1">
        <v>86570</v>
      </c>
      <c r="E11" s="1" t="str">
        <f t="shared" si="0"/>
        <v>Completed</v>
      </c>
      <c r="F11" s="1">
        <f t="shared" si="1"/>
        <v>17314</v>
      </c>
      <c r="G11" s="14">
        <f t="shared" si="2"/>
        <v>17314</v>
      </c>
      <c r="H11" s="14"/>
      <c r="I11" t="s">
        <v>35</v>
      </c>
      <c r="J11" s="5">
        <v>0.1</v>
      </c>
    </row>
    <row r="12" spans="1:10" x14ac:dyDescent="0.3">
      <c r="A12" s="1" t="s">
        <v>27</v>
      </c>
      <c r="B12" s="1" t="s">
        <v>12</v>
      </c>
      <c r="C12" s="1" t="s">
        <v>16</v>
      </c>
      <c r="D12" s="1">
        <v>30250</v>
      </c>
      <c r="E12" s="1" t="str">
        <f t="shared" si="0"/>
        <v>Incompleted</v>
      </c>
      <c r="F12" s="1">
        <f t="shared" si="1"/>
        <v>3025</v>
      </c>
      <c r="G12" s="14">
        <f t="shared" si="2"/>
        <v>3025</v>
      </c>
      <c r="H12" s="14"/>
    </row>
    <row r="13" spans="1:10" x14ac:dyDescent="0.3">
      <c r="A13" s="1" t="s">
        <v>28</v>
      </c>
      <c r="B13" s="1" t="s">
        <v>13</v>
      </c>
      <c r="C13" s="1" t="s">
        <v>15</v>
      </c>
      <c r="D13" s="1">
        <v>71584</v>
      </c>
      <c r="E13" s="1" t="str">
        <f t="shared" si="0"/>
        <v>Completed</v>
      </c>
      <c r="F13" s="1">
        <f t="shared" si="1"/>
        <v>10737.6</v>
      </c>
      <c r="G13" s="14">
        <f t="shared" si="2"/>
        <v>10737.6</v>
      </c>
      <c r="H13" s="14"/>
    </row>
    <row r="14" spans="1:10" x14ac:dyDescent="0.3">
      <c r="E14" s="1"/>
      <c r="G14" s="14"/>
    </row>
  </sheetData>
  <mergeCells count="1">
    <mergeCell ref="I7:J7"/>
  </mergeCells>
  <conditionalFormatting sqref="E14 A2:E13">
    <cfRule type="expression" dxfId="2" priority="4">
      <formula>$C2=#REF!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zoomScale="126" zoomScaleNormal="175" workbookViewId="0">
      <selection activeCell="E17" sqref="E17"/>
    </sheetView>
  </sheetViews>
  <sheetFormatPr defaultRowHeight="14.4" x14ac:dyDescent="0.3"/>
  <cols>
    <col min="1" max="1" width="12.109375" bestFit="1" customWidth="1"/>
    <col min="2" max="2" width="12.21875" customWidth="1"/>
    <col min="3" max="3" width="14.88671875" customWidth="1"/>
    <col min="4" max="4" width="14.5546875" customWidth="1"/>
    <col min="5" max="5" width="14.88671875" bestFit="1" customWidth="1"/>
    <col min="6" max="6" width="11.44140625" customWidth="1"/>
    <col min="7" max="7" width="12.109375" customWidth="1"/>
    <col min="8" max="8" width="9.88671875" customWidth="1"/>
    <col min="9" max="9" width="9.5546875" bestFit="1" customWidth="1"/>
  </cols>
  <sheetData>
    <row r="1" spans="1:9" x14ac:dyDescent="0.3">
      <c r="A1" s="2" t="s">
        <v>0</v>
      </c>
      <c r="B1" s="2" t="s">
        <v>1</v>
      </c>
      <c r="C1" s="2" t="s">
        <v>43</v>
      </c>
      <c r="D1" s="3" t="s">
        <v>2</v>
      </c>
      <c r="E1" s="6" t="s">
        <v>51</v>
      </c>
      <c r="F1" s="6" t="s">
        <v>52</v>
      </c>
      <c r="G1" t="s">
        <v>49</v>
      </c>
    </row>
    <row r="2" spans="1:9" x14ac:dyDescent="0.3">
      <c r="A2" s="1" t="s">
        <v>3</v>
      </c>
      <c r="B2" s="1" t="s">
        <v>14</v>
      </c>
      <c r="C2" s="1">
        <v>5</v>
      </c>
      <c r="D2" s="4">
        <v>41954</v>
      </c>
      <c r="E2" s="1" t="str">
        <f>IF(AND(B2="Finance",C2&gt;=5),"Yes","No")</f>
        <v>Yes</v>
      </c>
      <c r="F2" s="1" t="str">
        <f>IF(OR(B2="Finance",C2&gt;=5),"Yes","No")</f>
        <v>Yes</v>
      </c>
    </row>
    <row r="3" spans="1:9" x14ac:dyDescent="0.3">
      <c r="A3" s="1" t="s">
        <v>4</v>
      </c>
      <c r="B3" s="1" t="s">
        <v>15</v>
      </c>
      <c r="C3" s="1">
        <v>4</v>
      </c>
      <c r="D3" s="4">
        <v>49855</v>
      </c>
      <c r="E3" s="1" t="str">
        <f t="shared" ref="E3:E13" si="0">IF(AND(B3="Finance",C3&gt;=5),"Yes","No")</f>
        <v>No</v>
      </c>
      <c r="F3" s="1" t="str">
        <f t="shared" ref="F3:F13" si="1">IF(OR(B3="Finance",C3&gt;=5),"Yes","No")</f>
        <v>No</v>
      </c>
      <c r="G3" s="11" t="s">
        <v>45</v>
      </c>
      <c r="H3" s="12"/>
      <c r="I3" s="8" t="s">
        <v>47</v>
      </c>
    </row>
    <row r="4" spans="1:9" x14ac:dyDescent="0.3">
      <c r="A4" s="1" t="s">
        <v>5</v>
      </c>
      <c r="B4" s="1" t="s">
        <v>16</v>
      </c>
      <c r="C4" s="1">
        <v>3</v>
      </c>
      <c r="D4" s="4">
        <v>94210</v>
      </c>
      <c r="E4" s="1" t="str">
        <f t="shared" si="0"/>
        <v>No</v>
      </c>
      <c r="F4" s="1" t="str">
        <f t="shared" si="1"/>
        <v>No</v>
      </c>
      <c r="G4" s="9" t="s">
        <v>14</v>
      </c>
      <c r="H4" s="1" t="s">
        <v>50</v>
      </c>
      <c r="I4" s="8" t="s">
        <v>46</v>
      </c>
    </row>
    <row r="5" spans="1:9" x14ac:dyDescent="0.3">
      <c r="A5" s="1" t="s">
        <v>6</v>
      </c>
      <c r="B5" s="1" t="s">
        <v>14</v>
      </c>
      <c r="C5" s="1">
        <v>5</v>
      </c>
      <c r="D5" s="4">
        <v>74689</v>
      </c>
      <c r="E5" s="1" t="str">
        <f t="shared" si="0"/>
        <v>Yes</v>
      </c>
      <c r="F5" s="1" t="str">
        <f t="shared" si="1"/>
        <v>Yes</v>
      </c>
    </row>
    <row r="6" spans="1:9" x14ac:dyDescent="0.3">
      <c r="A6" s="1" t="s">
        <v>7</v>
      </c>
      <c r="B6" s="1" t="s">
        <v>15</v>
      </c>
      <c r="C6" s="1">
        <v>6</v>
      </c>
      <c r="D6" s="4">
        <v>90652</v>
      </c>
      <c r="E6" s="1" t="str">
        <f t="shared" si="0"/>
        <v>No</v>
      </c>
      <c r="F6" s="1" t="str">
        <f t="shared" si="1"/>
        <v>Yes</v>
      </c>
    </row>
    <row r="7" spans="1:9" x14ac:dyDescent="0.3">
      <c r="A7" s="1" t="s">
        <v>5</v>
      </c>
      <c r="B7" s="1" t="s">
        <v>15</v>
      </c>
      <c r="C7" s="1">
        <v>2</v>
      </c>
      <c r="D7" s="4">
        <v>74820</v>
      </c>
      <c r="E7" s="1" t="str">
        <f t="shared" si="0"/>
        <v>No</v>
      </c>
      <c r="F7" s="1" t="str">
        <f t="shared" si="1"/>
        <v>No</v>
      </c>
      <c r="G7" s="11" t="s">
        <v>48</v>
      </c>
      <c r="H7" s="12"/>
      <c r="I7" s="8" t="s">
        <v>47</v>
      </c>
    </row>
    <row r="8" spans="1:9" x14ac:dyDescent="0.3">
      <c r="A8" s="1" t="s">
        <v>8</v>
      </c>
      <c r="B8" s="1" t="s">
        <v>16</v>
      </c>
      <c r="C8" s="1">
        <v>3</v>
      </c>
      <c r="D8" s="4">
        <v>85206</v>
      </c>
      <c r="E8" s="1" t="str">
        <f t="shared" si="0"/>
        <v>No</v>
      </c>
      <c r="F8" s="1" t="str">
        <f t="shared" si="1"/>
        <v>No</v>
      </c>
      <c r="G8" s="9" t="s">
        <v>14</v>
      </c>
      <c r="H8" s="1" t="s">
        <v>44</v>
      </c>
      <c r="I8" s="8" t="s">
        <v>46</v>
      </c>
    </row>
    <row r="9" spans="1:9" x14ac:dyDescent="0.3">
      <c r="A9" s="1" t="s">
        <v>9</v>
      </c>
      <c r="B9" s="1" t="s">
        <v>14</v>
      </c>
      <c r="C9" s="1">
        <v>5</v>
      </c>
      <c r="D9" s="4">
        <v>30924</v>
      </c>
      <c r="E9" s="1" t="str">
        <f t="shared" si="0"/>
        <v>Yes</v>
      </c>
      <c r="F9" s="1" t="str">
        <f t="shared" si="1"/>
        <v>Yes</v>
      </c>
    </row>
    <row r="10" spans="1:9" x14ac:dyDescent="0.3">
      <c r="A10" s="1" t="s">
        <v>10</v>
      </c>
      <c r="B10" s="1" t="s">
        <v>15</v>
      </c>
      <c r="C10" s="1">
        <v>6</v>
      </c>
      <c r="D10" s="4">
        <v>57737</v>
      </c>
      <c r="E10" s="1" t="str">
        <f t="shared" si="0"/>
        <v>No</v>
      </c>
      <c r="F10" s="1" t="str">
        <f t="shared" si="1"/>
        <v>Yes</v>
      </c>
    </row>
    <row r="11" spans="1:9" x14ac:dyDescent="0.3">
      <c r="A11" s="1" t="s">
        <v>11</v>
      </c>
      <c r="B11" s="1" t="s">
        <v>16</v>
      </c>
      <c r="C11" s="1">
        <v>2</v>
      </c>
      <c r="D11" s="4">
        <v>36000</v>
      </c>
      <c r="E11" s="1" t="str">
        <f t="shared" si="0"/>
        <v>No</v>
      </c>
      <c r="F11" s="1" t="str">
        <f t="shared" si="1"/>
        <v>No</v>
      </c>
    </row>
    <row r="12" spans="1:9" x14ac:dyDescent="0.3">
      <c r="A12" s="1" t="s">
        <v>12</v>
      </c>
      <c r="B12" s="1" t="s">
        <v>16</v>
      </c>
      <c r="C12" s="1">
        <v>7</v>
      </c>
      <c r="D12" s="4">
        <v>96371</v>
      </c>
      <c r="E12" s="1" t="str">
        <f t="shared" si="0"/>
        <v>No</v>
      </c>
      <c r="F12" s="1" t="str">
        <f t="shared" si="1"/>
        <v>Yes</v>
      </c>
    </row>
    <row r="13" spans="1:9" x14ac:dyDescent="0.3">
      <c r="A13" s="1" t="s">
        <v>13</v>
      </c>
      <c r="B13" s="1" t="s">
        <v>15</v>
      </c>
      <c r="C13" s="1">
        <v>7</v>
      </c>
      <c r="D13" s="4">
        <v>85028</v>
      </c>
      <c r="E13" s="1" t="str">
        <f t="shared" si="0"/>
        <v>No</v>
      </c>
      <c r="F13" s="1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Calc</vt:lpstr>
      <vt:lpstr>Logical_Functions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2024-12-11T15:12:54Z</dcterms:created>
  <dcterms:modified xsi:type="dcterms:W3CDTF">2025-12-26T07:10:13Z</dcterms:modified>
</cp:coreProperties>
</file>